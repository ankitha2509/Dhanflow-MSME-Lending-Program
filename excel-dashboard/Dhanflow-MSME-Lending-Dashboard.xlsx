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63\Pictures\Report img\excel-dashboard\"/>
    </mc:Choice>
  </mc:AlternateContent>
  <xr:revisionPtr revIDLastSave="0" documentId="8_{BB5FA940-971C-4D28-A7B4-0881B8C5323F}" xr6:coauthVersionLast="47" xr6:coauthVersionMax="47" xr10:uidLastSave="{00000000-0000-0000-0000-000000000000}"/>
  <bookViews>
    <workbookView xWindow="-108" yWindow="-108" windowWidth="23256" windowHeight="12456" xr2:uid="{A179DA8B-9485-4D0D-B073-267A52F8D59C}"/>
  </bookViews>
  <sheets>
    <sheet name="Master Data" sheetId="1" r:id="rId1"/>
    <sheet name="Loan Overview" sheetId="2" r:id="rId2"/>
    <sheet name="Monthly Trend" sheetId="3" r:id="rId3"/>
    <sheet name="Rejection Analysis" sheetId="4" r:id="rId4"/>
    <sheet name="City Performance" sheetId="5" r:id="rId5"/>
    <sheet name="Repayment Health" sheetId="6" r:id="rId6"/>
    <sheet name="DASHBOARD" sheetId="10" r:id="rId7"/>
  </sheets>
  <definedNames>
    <definedName name="ExternalData_1" localSheetId="4" hidden="1">'City Performance'!$A$1:$C$11</definedName>
    <definedName name="ExternalData_1" localSheetId="1" hidden="1">'Loan Overview'!$A$1:$D$4</definedName>
    <definedName name="ExternalData_1" localSheetId="0" hidden="1">'Master Data'!$A$1:$J$16</definedName>
    <definedName name="ExternalData_1" localSheetId="2" hidden="1">'Monthly Trend'!$A$1:$C$6</definedName>
    <definedName name="ExternalData_1" localSheetId="3" hidden="1">'Rejection Analysis'!$A$1:$B$4</definedName>
    <definedName name="ExternalData_1" localSheetId="5" hidden="1">'Repayment Health'!$A$1:$C$3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65A0A-3CEC-4D30-8461-D62836F8E1C6}" keepAlive="1" name="Query - SQLite" description="Connection to the 'SQLite' query in the workbook." type="5" refreshedVersion="0" background="1">
    <dbPr connection="Provider=Microsoft.Mashup.OleDb.1;Data Source=$Workbook$;Location=SQLite;Extended Properties=&quot;&quot;" command="SELECT * FROM [SQLite]"/>
  </connection>
  <connection id="2" xr16:uid="{E953E1CE-B609-44E0-959C-80AF2FAB746E}" keepAlive="1" name="Query - SQLite (1)" description="Connection to the 'SQLite (1)' query in the workbook." type="5" refreshedVersion="0" background="1">
    <dbPr connection="Provider=Microsoft.Mashup.OleDb.1;Data Source=$Workbook$;Location=&quot;SQLite (1)&quot;;Extended Properties=&quot;&quot;" command="SELECT * FROM [SQLite (1)]"/>
  </connection>
  <connection id="3" xr16:uid="{FF38AC47-0B1D-4131-8E25-E15BAD850277}" keepAlive="1" name="Query - SQLite (10)" description="Connection to the 'SQLite (10)' query in the workbook." type="5" refreshedVersion="8" background="1" saveData="1">
    <dbPr connection="Provider=Microsoft.Mashup.OleDb.1;Data Source=$Workbook$;Location=&quot;SQLite (10)&quot;;Extended Properties=&quot;&quot;" command="SELECT * FROM [SQLite (10)]"/>
  </connection>
  <connection id="4" xr16:uid="{5FE45E76-79D2-4FD4-9B3E-95D0EBC72991}" keepAlive="1" name="Query - SQLite (11)" description="Connection to the 'SQLite (11)' query in the workbook." type="5" refreshedVersion="0" background="1">
    <dbPr connection="Provider=Microsoft.Mashup.OleDb.1;Data Source=$Workbook$;Location=&quot;SQLite (11)&quot;;Extended Properties=&quot;&quot;" command="SELECT * FROM [SQLite (11)]"/>
  </connection>
  <connection id="5" xr16:uid="{8A82DC2B-A146-4301-80AD-539DC5CCB184}" keepAlive="1" name="Query - SQLite (12)" description="Connection to the 'SQLite (12)' query in the workbook." type="5" refreshedVersion="0" background="1">
    <dbPr connection="Provider=Microsoft.Mashup.OleDb.1;Data Source=$Workbook$;Location=&quot;SQLite (12)&quot;;Extended Properties=&quot;&quot;" command="SELECT * FROM [SQLite (12)]"/>
  </connection>
  <connection id="6" xr16:uid="{D8AC2882-4A95-4B6F-B118-6FFBD40629A8}" keepAlive="1" name="Query - SQLite (13)" description="Connection to the 'SQLite (13)' query in the workbook." type="5" refreshedVersion="8" background="1" saveData="1">
    <dbPr connection="Provider=Microsoft.Mashup.OleDb.1;Data Source=$Workbook$;Location=&quot;SQLite (13)&quot;;Extended Properties=&quot;&quot;" command="SELECT * FROM [SQLite (13)]"/>
  </connection>
  <connection id="7" xr16:uid="{3DB04E06-8D6F-4BB2-876E-5DCAEEC93DE1}" keepAlive="1" name="Query - SQLite (14)" description="Connection to the 'SQLite (14)' query in the workbook." type="5" refreshedVersion="8" background="1" saveData="1">
    <dbPr connection="Provider=Microsoft.Mashup.OleDb.1;Data Source=$Workbook$;Location=&quot;SQLite (14)&quot;;Extended Properties=&quot;&quot;" command="SELECT * FROM [SQLite (14)]"/>
  </connection>
  <connection id="8" xr16:uid="{D257AB5E-C871-4D6C-92EF-A34397B5D806}" keepAlive="1" name="Query - SQLite (2)" description="Connection to the 'SQLite (2)' query in the workbook." type="5" refreshedVersion="0" background="1">
    <dbPr connection="Provider=Microsoft.Mashup.OleDb.1;Data Source=$Workbook$;Location=&quot;SQLite (2)&quot;;Extended Properties=&quot;&quot;" command="SELECT * FROM [SQLite (2)]"/>
  </connection>
  <connection id="9" xr16:uid="{467CF89F-3D20-48B1-A893-1B38A1C3E538}" keepAlive="1" name="Query - SQLite (3)" description="Connection to the 'SQLite (3)' query in the workbook." type="5" refreshedVersion="0" background="1">
    <dbPr connection="Provider=Microsoft.Mashup.OleDb.1;Data Source=$Workbook$;Location=&quot;SQLite (3)&quot;;Extended Properties=&quot;&quot;" command="SELECT * FROM [SQLite (3)]"/>
  </connection>
  <connection id="10" xr16:uid="{38D0E441-1620-42A6-946A-692622C11432}" keepAlive="1" name="Query - SQLite (4)" description="Connection to the 'SQLite (4)' query in the workbook." type="5" refreshedVersion="0" background="1">
    <dbPr connection="Provider=Microsoft.Mashup.OleDb.1;Data Source=$Workbook$;Location=&quot;SQLite (4)&quot;;Extended Properties=&quot;&quot;" command="SELECT * FROM [SQLite (4)]"/>
  </connection>
  <connection id="11" xr16:uid="{7CA7BCA4-64DA-4175-9A6C-E3479C9FF42C}" keepAlive="1" name="Query - SQLite (5)" description="Connection to the 'SQLite (5)' query in the workbook." type="5" refreshedVersion="0" background="1">
    <dbPr connection="Provider=Microsoft.Mashup.OleDb.1;Data Source=$Workbook$;Location=&quot;SQLite (5)&quot;;Extended Properties=&quot;&quot;" command="SELECT * FROM [SQLite (5)]"/>
  </connection>
  <connection id="12" xr16:uid="{96AA638D-8C34-4D65-BC73-C2D69D1948A0}" keepAlive="1" name="Query - SQLite (6)" description="Connection to the 'SQLite (6)' query in the workbook." type="5" refreshedVersion="0" background="1">
    <dbPr connection="Provider=Microsoft.Mashup.OleDb.1;Data Source=$Workbook$;Location=&quot;SQLite (6)&quot;;Extended Properties=&quot;&quot;" command="SELECT * FROM [SQLite (6)]"/>
  </connection>
  <connection id="13" xr16:uid="{4A4917BC-EC56-43BB-BE69-08941E6206C3}" keepAlive="1" name="Query - SQLite (7)" description="Connection to the 'SQLite (7)' query in the workbook." type="5" refreshedVersion="8" background="1" saveData="1">
    <dbPr connection="Provider=Microsoft.Mashup.OleDb.1;Data Source=$Workbook$;Location=&quot;SQLite (7)&quot;;Extended Properties=&quot;&quot;" command="SELECT * FROM [SQLite (7)]"/>
  </connection>
  <connection id="14" xr16:uid="{FA5AB775-A199-4675-9752-E7A13AE186DF}" keepAlive="1" name="Query - SQLite (8)" description="Connection to the 'SQLite (8)' query in the workbook." type="5" refreshedVersion="8" background="1" saveData="1">
    <dbPr connection="Provider=Microsoft.Mashup.OleDb.1;Data Source=$Workbook$;Location=&quot;SQLite (8)&quot;;Extended Properties=&quot;&quot;" command="SELECT * FROM [SQLite (8)]"/>
  </connection>
  <connection id="15" xr16:uid="{0AABB51E-90C6-4D09-BDB6-53328585145F}" keepAlive="1" name="Query - SQLite (9)" description="Connection to the 'SQLite (9)' query in the workbook." type="5" refreshedVersion="8" background="1" saveData="1">
    <dbPr connection="Provider=Microsoft.Mashup.OleDb.1;Data Source=$Workbook$;Location=&quot;SQLite (9)&quot;;Extended Properties=&quot;&quot;" command="SELECT * FROM [SQLite (9)]"/>
  </connection>
</connections>
</file>

<file path=xl/sharedStrings.xml><?xml version="1.0" encoding="utf-8"?>
<sst xmlns="http://schemas.openxmlformats.org/spreadsheetml/2006/main" count="139" uniqueCount="72">
  <si>
    <t>status</t>
  </si>
  <si>
    <t>total_loans</t>
  </si>
  <si>
    <t>total_amount</t>
  </si>
  <si>
    <t>avg_amount</t>
  </si>
  <si>
    <t>disbursed</t>
  </si>
  <si>
    <t>pending</t>
  </si>
  <si>
    <t>rejected</t>
  </si>
  <si>
    <t>month</t>
  </si>
  <si>
    <t>loans_disbursed</t>
  </si>
  <si>
    <t>total_disbursed_amount</t>
  </si>
  <si>
    <t>rejection_reason</t>
  </si>
  <si>
    <t>total_rejections</t>
  </si>
  <si>
    <t>Incomplete KYC</t>
  </si>
  <si>
    <t>Low Credit Score</t>
  </si>
  <si>
    <t>Low Income</t>
  </si>
  <si>
    <t>city</t>
  </si>
  <si>
    <t>Ahmedabad</t>
  </si>
  <si>
    <t>Hyderabad</t>
  </si>
  <si>
    <t>Jaipur</t>
  </si>
  <si>
    <t>Bangalore</t>
  </si>
  <si>
    <t>Pune</t>
  </si>
  <si>
    <t>Mumbai</t>
  </si>
  <si>
    <t>Delhi</t>
  </si>
  <si>
    <t>Lucknow</t>
  </si>
  <si>
    <t>Kochi</t>
  </si>
  <si>
    <t>Chennai</t>
  </si>
  <si>
    <t>payment_status</t>
  </si>
  <si>
    <t>total_emis</t>
  </si>
  <si>
    <t>paid</t>
  </si>
  <si>
    <t>unpaid</t>
  </si>
  <si>
    <t>borrower_name</t>
  </si>
  <si>
    <t>business_type</t>
  </si>
  <si>
    <t>monthly_income</t>
  </si>
  <si>
    <t>loan_amount</t>
  </si>
  <si>
    <t>loan_purpose</t>
  </si>
  <si>
    <t>loan_status</t>
  </si>
  <si>
    <t>kyc_status</t>
  </si>
  <si>
    <t>application_date</t>
  </si>
  <si>
    <t>disbursed_date</t>
  </si>
  <si>
    <t>Rajesh Kumar</t>
  </si>
  <si>
    <t>Kirana Store</t>
  </si>
  <si>
    <t>Inventory Purchase</t>
  </si>
  <si>
    <t>passed</t>
  </si>
  <si>
    <t>Priya Sharma</t>
  </si>
  <si>
    <t>Textile Shop</t>
  </si>
  <si>
    <t>Shop Renovation</t>
  </si>
  <si>
    <t>Mohammed Irfan</t>
  </si>
  <si>
    <t>Electronics</t>
  </si>
  <si>
    <t>Equipment Purchase</t>
  </si>
  <si>
    <t>Sunita Devi</t>
  </si>
  <si>
    <t>Vegetable Vendor</t>
  </si>
  <si>
    <t>Working Capital</t>
  </si>
  <si>
    <t>failed</t>
  </si>
  <si>
    <t>Amit Patel</t>
  </si>
  <si>
    <t>Pharmacy</t>
  </si>
  <si>
    <t>Business Expansion</t>
  </si>
  <si>
    <t>Lakshmi Nair</t>
  </si>
  <si>
    <t>Bakery</t>
  </si>
  <si>
    <t>Ravi Verma</t>
  </si>
  <si>
    <t>Hardware Store</t>
  </si>
  <si>
    <t>Deepa Joshi</t>
  </si>
  <si>
    <t>Clothing Store</t>
  </si>
  <si>
    <t>Suresh Yadav</t>
  </si>
  <si>
    <t>Restaurant</t>
  </si>
  <si>
    <t>Anita Singh</t>
  </si>
  <si>
    <t>Jewellery Shop</t>
  </si>
  <si>
    <t xml:space="preserve"> Disbursed</t>
  </si>
  <si>
    <t xml:space="preserve"> Total Loans</t>
  </si>
  <si>
    <t xml:space="preserve"> Disbursement Rate</t>
  </si>
  <si>
    <t xml:space="preserve">  Pending</t>
  </si>
  <si>
    <r>
      <t xml:space="preserve">  </t>
    </r>
    <r>
      <rPr>
        <b/>
        <sz val="12"/>
        <color theme="0"/>
        <rFont val="Arial"/>
        <family val="2"/>
      </rPr>
      <t>Rejected</t>
    </r>
  </si>
  <si>
    <t>Dhanflow — MSME Lending Program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</si>
</sst>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24"/>
      <color rgb="FF0070C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4"/>
      <color rgb="FFFF0000"/>
      <name val="Arial"/>
      <family val="2"/>
    </font>
    <font>
      <b/>
      <sz val="1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2" fillId="0" borderId="0" xfId="0" applyFont="1"/>
    <xf numFmtId="0" fontId="4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4" borderId="0" xfId="0" applyFill="1"/>
    <xf numFmtId="0" fontId="5" fillId="3" borderId="0" xfId="0" applyFont="1" applyFill="1"/>
    <xf numFmtId="10" fontId="5" fillId="3" borderId="0" xfId="0" applyNumberFormat="1" applyFont="1" applyFill="1"/>
    <xf numFmtId="0" fontId="6" fillId="0" borderId="0" xfId="0" applyFont="1" applyAlignment="1">
      <alignment horizontal="center"/>
    </xf>
    <xf numFmtId="0" fontId="1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'Loan Overview'!$B$1</c:f>
              <c:strCache>
                <c:ptCount val="1"/>
                <c:pt idx="0">
                  <c:v>total_loans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41-4848-A6E4-4E729584E1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41-4848-A6E4-4E729584E1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41-4848-A6E4-4E729584E1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'Loan Overview'!$A$2:$A$4</c:f>
              <c:strCache>
                <c:ptCount val="3"/>
                <c:pt idx="0">
                  <c:v>disbursed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'Loan Overview'!$B$2:$B$4</c:f>
              <c:numCache>
                <c:formatCode>General</c:formatCode>
                <c:ptCount val="3"/>
                <c:pt idx="0">
                  <c:v>10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41-4848-A6E4-4E729584E1BE}"/>
            </c:ext>
          </c:extLst>
        </c:ser>
        <c:ser>
          <c:idx val="1"/>
          <c:order val="1"/>
          <c:tx>
            <c:strRef>
              <c:f>'Loan Overview'!$C$1</c:f>
              <c:strCache>
                <c:ptCount val="1"/>
                <c:pt idx="0">
                  <c:v>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E41-4848-A6E4-4E729584E1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9E41-4848-A6E4-4E729584E1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E41-4848-A6E4-4E729584E1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'Loan Overview'!$A$2:$A$4</c:f>
              <c:strCache>
                <c:ptCount val="3"/>
                <c:pt idx="0">
                  <c:v>disbursed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'Loan Overview'!$C$2:$C$4</c:f>
              <c:numCache>
                <c:formatCode>General</c:formatCode>
                <c:ptCount val="3"/>
                <c:pt idx="0">
                  <c:v>960000</c:v>
                </c:pt>
                <c:pt idx="1">
                  <c:v>295000</c:v>
                </c:pt>
                <c:pt idx="2">
                  <c:v>175000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E41-4848-A6E4-4E729584E1BE}"/>
            </c:ext>
          </c:extLst>
        </c:ser>
        <c:ser>
          <c:idx val="2"/>
          <c:order val="2"/>
          <c:tx>
            <c:strRef>
              <c:f>'Loan Overview'!$D$1</c:f>
              <c:strCache>
                <c:ptCount val="1"/>
                <c:pt idx="0">
                  <c:v>avg_amount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E41-4848-A6E4-4E729584E1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E41-4848-A6E4-4E729584E1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E41-4848-A6E4-4E729584E1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'Loan Overview'!$A$2:$A$4</c:f>
              <c:strCache>
                <c:ptCount val="3"/>
                <c:pt idx="0">
                  <c:v>disbursed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'Loan Overview'!$D$2:$D$4</c:f>
              <c:numCache>
                <c:formatCode>General</c:formatCode>
                <c:ptCount val="3"/>
                <c:pt idx="0">
                  <c:v>96000</c:v>
                </c:pt>
                <c:pt idx="1">
                  <c:v>147500</c:v>
                </c:pt>
                <c:pt idx="2">
                  <c:v>58333.333333333336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E41-4848-A6E4-4E729584E1BE}"/>
            </c:ext>
          </c:extLst>
        </c:ser>
        <c:ser>
          <c:idx val="3"/>
          <c:order val="3"/>
          <c:tx>
            <c:strRef>
              <c:f>'Loan Overview'!$E$1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9E41-4848-A6E4-4E729584E1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9E41-4848-A6E4-4E729584E1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9E41-4848-A6E4-4E729584E1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'Loan Overview'!$A$2:$A$4</c:f>
              <c:strCache>
                <c:ptCount val="3"/>
                <c:pt idx="0">
                  <c:v>disbursed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'Loan Overview'!$E$2:$E$4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B-9E41-4848-A6E4-4E729584E1B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Loan Disbursement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'Loan Overview'!$B$1</c:f>
              <c:strCache>
                <c:ptCount val="1"/>
                <c:pt idx="0">
                  <c:v>total_loans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'Loan Overview'!$A$2:$A$4</c:f>
              <c:strCache>
                <c:ptCount val="3"/>
                <c:pt idx="0">
                  <c:v>disbursed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'Loan Overview'!$B$2:$B$4</c:f>
              <c:numCache>
                <c:formatCode>General</c:formatCode>
                <c:ptCount val="3"/>
                <c:pt idx="0">
                  <c:v>10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1-4457-A8E3-3732DABE468B}"/>
            </c:ext>
          </c:extLst>
        </c:ser>
        <c:ser>
          <c:idx val="1"/>
          <c:order val="1"/>
          <c:tx>
            <c:strRef>
              <c:f>'Loan Overview'!$C$1</c:f>
              <c:strCache>
                <c:ptCount val="1"/>
                <c:pt idx="0">
                  <c:v>total_amount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'Loan Overview'!$A$2:$A$4</c:f>
              <c:strCache>
                <c:ptCount val="3"/>
                <c:pt idx="0">
                  <c:v>disbursed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'Loan Overview'!$C$2:$C$4</c:f>
              <c:numCache>
                <c:formatCode>General</c:formatCode>
                <c:ptCount val="3"/>
                <c:pt idx="0">
                  <c:v>960000</c:v>
                </c:pt>
                <c:pt idx="1">
                  <c:v>295000</c:v>
                </c:pt>
                <c:pt idx="2">
                  <c:v>175000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1-4457-A8E3-3732DABE468B}"/>
            </c:ext>
          </c:extLst>
        </c:ser>
        <c:ser>
          <c:idx val="2"/>
          <c:order val="2"/>
          <c:tx>
            <c:strRef>
              <c:f>'Loan Overview'!$D$1</c:f>
              <c:strCache>
                <c:ptCount val="1"/>
                <c:pt idx="0">
                  <c:v>avg_amount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'Loan Overview'!$A$2:$A$4</c:f>
              <c:strCache>
                <c:ptCount val="3"/>
                <c:pt idx="0">
                  <c:v>disbursed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'Loan Overview'!$D$2:$D$4</c:f>
              <c:numCache>
                <c:formatCode>General</c:formatCode>
                <c:ptCount val="3"/>
                <c:pt idx="0">
                  <c:v>96000</c:v>
                </c:pt>
                <c:pt idx="1">
                  <c:v>147500</c:v>
                </c:pt>
                <c:pt idx="2">
                  <c:v>58333.333333333336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81-4457-A8E3-3732DABE4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491039"/>
        <c:axId val="302496319"/>
      </c:lineChart>
      <c:catAx>
        <c:axId val="3024910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96319"/>
        <c:crosses val="autoZero"/>
        <c:auto val="1"/>
        <c:lblAlgn val="ctr"/>
        <c:lblOffset val="100"/>
        <c:noMultiLvlLbl val="0"/>
      </c:catAx>
      <c:valAx>
        <c:axId val="3024963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9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Rejection Reasons</a:t>
            </a:r>
          </a:p>
        </c:rich>
      </c:tx>
      <c:layout>
        <c:manualLayout>
          <c:xMode val="edge"/>
          <c:yMode val="edge"/>
          <c:x val="0.3394790026246719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'Rejection Analysis'!$A$1</c:f>
              <c:strCache>
                <c:ptCount val="1"/>
                <c:pt idx="0">
                  <c:v>rejection_reason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'Rejection Analysis'!$A$2:$A$5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F-4F5D-B98E-A45B89FDA2DF}"/>
            </c:ext>
          </c:extLst>
        </c:ser>
        <c:ser>
          <c:idx val="1"/>
          <c:order val="1"/>
          <c:tx>
            <c:strRef>
              <c:f>'Rejection Analysis'!$B$1</c:f>
              <c:strCache>
                <c:ptCount val="1"/>
                <c:pt idx="0">
                  <c:v>total_rejections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'Rejection Analysis'!$B$2:$B$5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F-4F5D-B98E-A45B89FDA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503629599"/>
        <c:axId val="503634879"/>
      </c:barChart>
      <c:catAx>
        <c:axId val="503629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634879"/>
        <c:crosses val="autoZero"/>
        <c:auto val="1"/>
        <c:lblAlgn val="ctr"/>
        <c:lblOffset val="100"/>
        <c:noMultiLvlLbl val="0"/>
      </c:catAx>
      <c:valAx>
        <c:axId val="5036348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62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 Wise Loan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'City Performance'!$B$1</c:f>
              <c:strCache>
                <c:ptCount val="1"/>
                <c:pt idx="0">
                  <c:v>total_loans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'City Performance'!$A$2:$A$11</c:f>
              <c:strCache>
                <c:ptCount val="10"/>
                <c:pt idx="0">
                  <c:v>Ahmedabad</c:v>
                </c:pt>
                <c:pt idx="1">
                  <c:v>Hyderabad</c:v>
                </c:pt>
                <c:pt idx="2">
                  <c:v>Jaipur</c:v>
                </c:pt>
                <c:pt idx="3">
                  <c:v>Bangalore</c:v>
                </c:pt>
                <c:pt idx="4">
                  <c:v>Pune</c:v>
                </c:pt>
                <c:pt idx="5">
                  <c:v>Mumbai</c:v>
                </c:pt>
                <c:pt idx="6">
                  <c:v>Delhi</c:v>
                </c:pt>
                <c:pt idx="7">
                  <c:v>Lucknow</c:v>
                </c:pt>
                <c:pt idx="8">
                  <c:v>Kochi</c:v>
                </c:pt>
                <c:pt idx="9">
                  <c:v>Chennai</c:v>
                </c:pt>
              </c:strCache>
            </c:strRef>
          </c:cat>
          <c:val>
            <c:numRef>
              <c:f>'City Performance'!$B$2:$B$11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E-4A4E-9D2B-9D971CF7875B}"/>
            </c:ext>
          </c:extLst>
        </c:ser>
        <c:ser>
          <c:idx val="1"/>
          <c:order val="1"/>
          <c:tx>
            <c:strRef>
              <c:f>'City Performance'!$C$1</c:f>
              <c:strCache>
                <c:ptCount val="1"/>
                <c:pt idx="0">
                  <c:v>total_amount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'City Performance'!$A$2:$A$11</c:f>
              <c:strCache>
                <c:ptCount val="10"/>
                <c:pt idx="0">
                  <c:v>Ahmedabad</c:v>
                </c:pt>
                <c:pt idx="1">
                  <c:v>Hyderabad</c:v>
                </c:pt>
                <c:pt idx="2">
                  <c:v>Jaipur</c:v>
                </c:pt>
                <c:pt idx="3">
                  <c:v>Bangalore</c:v>
                </c:pt>
                <c:pt idx="4">
                  <c:v>Pune</c:v>
                </c:pt>
                <c:pt idx="5">
                  <c:v>Mumbai</c:v>
                </c:pt>
                <c:pt idx="6">
                  <c:v>Delhi</c:v>
                </c:pt>
                <c:pt idx="7">
                  <c:v>Lucknow</c:v>
                </c:pt>
                <c:pt idx="8">
                  <c:v>Kochi</c:v>
                </c:pt>
                <c:pt idx="9">
                  <c:v>Chennai</c:v>
                </c:pt>
              </c:strCache>
            </c:strRef>
          </c:cat>
          <c:val>
            <c:numRef>
              <c:f>'City Performance'!$C$2:$C$11</c:f>
              <c:numCache>
                <c:formatCode>General</c:formatCode>
                <c:ptCount val="10"/>
                <c:pt idx="0">
                  <c:v>325000</c:v>
                </c:pt>
                <c:pt idx="1">
                  <c:v>260000</c:v>
                </c:pt>
                <c:pt idx="2">
                  <c:v>200000</c:v>
                </c:pt>
                <c:pt idx="3">
                  <c:v>190000</c:v>
                </c:pt>
                <c:pt idx="4">
                  <c:v>175000</c:v>
                </c:pt>
                <c:pt idx="5">
                  <c:v>80000</c:v>
                </c:pt>
                <c:pt idx="6">
                  <c:v>75000</c:v>
                </c:pt>
                <c:pt idx="7">
                  <c:v>60000</c:v>
                </c:pt>
                <c:pt idx="8">
                  <c:v>40000</c:v>
                </c:pt>
                <c:pt idx="9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E-4A4E-9D2B-9D971CF78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2496319"/>
        <c:axId val="302497279"/>
        <c:axId val="0"/>
      </c:bar3DChart>
      <c:catAx>
        <c:axId val="30249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97279"/>
        <c:crosses val="autoZero"/>
        <c:auto val="1"/>
        <c:lblAlgn val="ctr"/>
        <c:lblOffset val="100"/>
        <c:noMultiLvlLbl val="0"/>
      </c:catAx>
      <c:valAx>
        <c:axId val="30249727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9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Repayment Health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'Repayment Health'!$B$1</c:f>
              <c:strCache>
                <c:ptCount val="1"/>
                <c:pt idx="0">
                  <c:v>total_emis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A6-44EB-BB58-48B8BBC209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A6-44EB-BB58-48B8BBC209F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'Repayment Health'!$A$2:$A$3</c:f>
              <c:strCache>
                <c:ptCount val="2"/>
                <c:pt idx="0">
                  <c:v>paid</c:v>
                </c:pt>
                <c:pt idx="1">
                  <c:v>unpaid</c:v>
                </c:pt>
              </c:strCache>
            </c:strRef>
          </c:cat>
          <c:val>
            <c:numRef>
              <c:f>'Repayment Health'!$B$2:$B$3</c:f>
              <c:numCache>
                <c:formatCode>General</c:formatCode>
                <c:ptCount val="2"/>
                <c:pt idx="0">
                  <c:v>10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A6-44EB-BB58-48B8BBC209F3}"/>
            </c:ext>
          </c:extLst>
        </c:ser>
        <c:ser>
          <c:idx val="1"/>
          <c:order val="1"/>
          <c:tx>
            <c:strRef>
              <c:f>'Repayment Health'!$C$1</c:f>
              <c:strCache>
                <c:ptCount val="1"/>
                <c:pt idx="0">
                  <c:v>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7A6-44EB-BB58-48B8BBC209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E7A6-44EB-BB58-48B8BBC209F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'Repayment Health'!$A$2:$A$3</c:f>
              <c:strCache>
                <c:ptCount val="2"/>
                <c:pt idx="0">
                  <c:v>paid</c:v>
                </c:pt>
                <c:pt idx="1">
                  <c:v>unpaid</c:v>
                </c:pt>
              </c:strCache>
            </c:strRef>
          </c:cat>
          <c:val>
            <c:numRef>
              <c:f>'Repayment Health'!$C$2:$C$3</c:f>
              <c:numCache>
                <c:formatCode>General</c:formatCode>
                <c:ptCount val="2"/>
                <c:pt idx="0">
                  <c:v>69800</c:v>
                </c:pt>
                <c:pt idx="1">
                  <c:v>58600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A6-44EB-BB58-48B8BBC209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8</xdr:row>
      <xdr:rowOff>11430</xdr:rowOff>
    </xdr:from>
    <xdr:to>
      <xdr:col>8</xdr:col>
      <xdr:colOff>0</xdr:colOff>
      <xdr:row>23</xdr:row>
      <xdr:rowOff>11430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21AB3B3-AD55-D8EF-EBE9-AC4AAC40E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8</xdr:row>
      <xdr:rowOff>3810</xdr:rowOff>
    </xdr:from>
    <xdr:to>
      <xdr:col>18</xdr:col>
      <xdr:colOff>38100</xdr:colOff>
      <xdr:row>23</xdr:row>
      <xdr:rowOff>3810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BFA3A56-15B5-2AFB-34B3-837259670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26</xdr:row>
      <xdr:rowOff>171450</xdr:rowOff>
    </xdr:from>
    <xdr:to>
      <xdr:col>7</xdr:col>
      <xdr:colOff>594360</xdr:colOff>
      <xdr:row>41</xdr:row>
      <xdr:rowOff>171450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64624FC-8406-8215-FB72-8A0417BD0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7620</xdr:colOff>
      <xdr:row>27</xdr:row>
      <xdr:rowOff>7620</xdr:rowOff>
    </xdr:from>
    <xdr:to>
      <xdr:col>18</xdr:col>
      <xdr:colOff>60960</xdr:colOff>
      <xdr:row>41</xdr:row>
      <xdr:rowOff>160020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4E7E63ED-E789-2506-500F-23765F7A0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708660</xdr:colOff>
      <xdr:row>43</xdr:row>
      <xdr:rowOff>57150</xdr:rowOff>
    </xdr:from>
    <xdr:to>
      <xdr:col>12</xdr:col>
      <xdr:colOff>205740</xdr:colOff>
      <xdr:row>58</xdr:row>
      <xdr:rowOff>57150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22C379F5-1F4E-9852-7E35-BAE260DA4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EA2C24F-0444-4CD2-BE8F-C8539387ACB1}" autoFormatId="16" applyNumberFormats="0" applyBorderFormats="0" applyFontFormats="0" applyPatternFormats="0" applyAlignmentFormats="0" applyWidthHeightFormats="0">
  <queryTableRefresh nextId="11">
    <queryTableFields count="10">
      <queryTableField id="1" name="borrower_name" tableColumnId="1"/>
      <queryTableField id="2" name="city" tableColumnId="2"/>
      <queryTableField id="3" name="business_type" tableColumnId="3"/>
      <queryTableField id="4" name="monthly_income" tableColumnId="4"/>
      <queryTableField id="5" name="loan_amount" tableColumnId="5"/>
      <queryTableField id="6" name="loan_purpose" tableColumnId="6"/>
      <queryTableField id="7" name="loan_status" tableColumnId="7"/>
      <queryTableField id="8" name="kyc_status" tableColumnId="8"/>
      <queryTableField id="9" name="application_date" tableColumnId="9"/>
      <queryTableField id="10" name="disbursed_dat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CF760FA-9A73-49D5-99E8-0FB938D539E5}" autoFormatId="16" applyNumberFormats="0" applyBorderFormats="0" applyFontFormats="0" applyPatternFormats="0" applyAlignmentFormats="0" applyWidthHeightFormats="0">
  <queryTableRefresh nextId="5">
    <queryTableFields count="4">
      <queryTableField id="1" name="status" tableColumnId="1"/>
      <queryTableField id="2" name="total_loans" tableColumnId="2"/>
      <queryTableField id="3" name="total_amount" tableColumnId="3"/>
      <queryTableField id="4" name="avg_amou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785F2CC-ED84-4EBC-A1B0-999FA7B34D86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loans_disbursed" tableColumnId="2"/>
      <queryTableField id="3" name="total_disbursed_am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982DC09D-4857-4586-B1D4-83553DDA7CF3}" autoFormatId="16" applyNumberFormats="0" applyBorderFormats="0" applyFontFormats="0" applyPatternFormats="0" applyAlignmentFormats="0" applyWidthHeightFormats="0">
  <queryTableRefresh nextId="3">
    <queryTableFields count="2">
      <queryTableField id="1" name="rejection_reason" tableColumnId="1"/>
      <queryTableField id="2" name="total_rejection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60C163C0-DF41-405D-BD1B-BAF2C2ED645F}" autoFormatId="16" applyNumberFormats="0" applyBorderFormats="0" applyFontFormats="0" applyPatternFormats="0" applyAlignmentFormats="0" applyWidthHeightFormats="0">
  <queryTableRefresh nextId="4">
    <queryTableFields count="3">
      <queryTableField id="1" name="city" tableColumnId="1"/>
      <queryTableField id="2" name="total_loans" tableColumnId="2"/>
      <queryTableField id="3" name="total_amoun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36FD8EBC-3DA1-4A74-8FE7-AF7CD67791B6}" autoFormatId="16" applyNumberFormats="0" applyBorderFormats="0" applyFontFormats="0" applyPatternFormats="0" applyAlignmentFormats="0" applyWidthHeightFormats="0">
  <queryTableRefresh nextId="4">
    <queryTableFields count="3">
      <queryTableField id="1" name="payment_status" tableColumnId="1"/>
      <queryTableField id="2" name="total_emis" tableColumnId="2"/>
      <queryTableField id="3" name="total_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BE9398A-F179-4DCB-A272-BA0F6930089B}" name="SQLite__14" displayName="SQLite__14" ref="A1:J16" tableType="queryTable" totalsRowShown="0">
  <autoFilter ref="A1:J16" xr:uid="{FBE9398A-F179-4DCB-A272-BA0F6930089B}"/>
  <tableColumns count="10">
    <tableColumn id="1" xr3:uid="{281023EB-C851-4C77-805B-58629D2C045C}" uniqueName="1" name="borrower_name" queryTableFieldId="1" dataDxfId="12"/>
    <tableColumn id="2" xr3:uid="{EFA39613-2F00-4385-BB28-938087F83918}" uniqueName="2" name="city" queryTableFieldId="2" dataDxfId="11"/>
    <tableColumn id="3" xr3:uid="{28222207-0B3D-49D2-884D-CFE772FA7D9F}" uniqueName="3" name="business_type" queryTableFieldId="3" dataDxfId="10"/>
    <tableColumn id="4" xr3:uid="{2FEAEE8D-F807-4A08-9D7A-8C84DB92A396}" uniqueName="4" name="monthly_income" queryTableFieldId="4"/>
    <tableColumn id="5" xr3:uid="{A8EE1DA2-22CA-4059-85BC-79E7E1486B3D}" uniqueName="5" name="loan_amount" queryTableFieldId="5"/>
    <tableColumn id="6" xr3:uid="{5548A263-7120-4745-AB14-DDBAF5DF1135}" uniqueName="6" name="loan_purpose" queryTableFieldId="6" dataDxfId="9"/>
    <tableColumn id="7" xr3:uid="{261336A3-EFD0-450D-9C23-2D885ED1072F}" uniqueName="7" name="loan_status" queryTableFieldId="7" dataDxfId="8"/>
    <tableColumn id="8" xr3:uid="{96D12F83-52C0-46AD-BCC6-B47E7CA57D55}" uniqueName="8" name="kyc_status" queryTableFieldId="8" dataDxfId="7"/>
    <tableColumn id="9" xr3:uid="{6D35A895-3B1E-4E22-94B5-8FA1D5B6F289}" uniqueName="9" name="application_date" queryTableFieldId="9" dataDxfId="6"/>
    <tableColumn id="10" xr3:uid="{BA025D23-C8A8-40E4-8BA9-C0F4A7C969C9}" uniqueName="10" name="disbursed_date" queryTableFieldId="10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442A6E1-0372-4356-93E6-7148C22C361C}" name="SQLite__13" displayName="SQLite__13" ref="A1:D4" tableType="queryTable" totalsRowShown="0">
  <autoFilter ref="A1:D4" xr:uid="{4442A6E1-0372-4356-93E6-7148C22C361C}"/>
  <tableColumns count="4">
    <tableColumn id="1" xr3:uid="{2C6A7B0E-9D11-4D06-8D30-0FA7127F9A70}" uniqueName="1" name="status" queryTableFieldId="1" dataDxfId="4"/>
    <tableColumn id="2" xr3:uid="{1F3E4D90-4511-406C-9BAF-F9251A95AF0F}" uniqueName="2" name="total_loans" queryTableFieldId="2"/>
    <tableColumn id="3" xr3:uid="{9EE7ECA5-188F-4165-B791-E6AECFDDDB2A}" uniqueName="3" name="total_amount" queryTableFieldId="3"/>
    <tableColumn id="4" xr3:uid="{33C371EC-49E7-4900-B261-E53A748A0EF1}" uniqueName="4" name="avg_amoun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372AA9-9FF6-4892-815F-DDD2090F670F}" name="SQLite__10" displayName="SQLite__10" ref="A1:C6" tableType="queryTable" totalsRowShown="0">
  <autoFilter ref="A1:C6" xr:uid="{30372AA9-9FF6-4892-815F-DDD2090F670F}"/>
  <tableColumns count="3">
    <tableColumn id="1" xr3:uid="{E4D05074-1B7B-48A5-9FAC-A66B05787B6B}" uniqueName="1" name="month" queryTableFieldId="1" dataDxfId="3"/>
    <tableColumn id="2" xr3:uid="{AAF51E1C-4799-4A9D-8652-BCD9FD3B5611}" uniqueName="2" name="loans_disbursed" queryTableFieldId="2"/>
    <tableColumn id="3" xr3:uid="{C1B9FD41-C95C-40F1-AFA6-99AE32D3CC27}" uniqueName="3" name="total_disbursed_am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35108C-281B-43FA-96A7-AF875DD7133B}" name="SQLite__9" displayName="SQLite__9" ref="A1:B4" tableType="queryTable" totalsRowShown="0">
  <autoFilter ref="A1:B4" xr:uid="{1635108C-281B-43FA-96A7-AF875DD7133B}"/>
  <tableColumns count="2">
    <tableColumn id="1" xr3:uid="{068F3A38-B84C-4317-860E-5115AF31243A}" uniqueName="1" name="rejection_reason" queryTableFieldId="1" dataDxfId="2"/>
    <tableColumn id="2" xr3:uid="{8AAEA47C-FA84-4AD0-BD6E-BD0B983C5DD6}" uniqueName="2" name="total_rejections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279E2E-35EF-402A-B9AD-BAA863C019CA}" name="SQLite__8" displayName="SQLite__8" ref="A1:C11" tableType="queryTable" totalsRowShown="0">
  <autoFilter ref="A1:C11" xr:uid="{60279E2E-35EF-402A-B9AD-BAA863C019CA}"/>
  <tableColumns count="3">
    <tableColumn id="1" xr3:uid="{36712464-5436-41B9-BF68-7963E05D1387}" uniqueName="1" name="city" queryTableFieldId="1" dataDxfId="1"/>
    <tableColumn id="2" xr3:uid="{7BC41D16-2009-4486-BEC0-000727744D36}" uniqueName="2" name="total_loans" queryTableFieldId="2"/>
    <tableColumn id="3" xr3:uid="{6DE3A170-BEC9-4B58-A24F-F609A136B756}" uniqueName="3" name="total_amount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E52B706-266C-4269-8897-BE243FDC5482}" name="SQLite__7" displayName="SQLite__7" ref="A1:C3" tableType="queryTable" totalsRowShown="0">
  <autoFilter ref="A1:C3" xr:uid="{0E52B706-266C-4269-8897-BE243FDC5482}"/>
  <tableColumns count="3">
    <tableColumn id="1" xr3:uid="{56D74B53-5E45-48ED-AEE8-304E9AFBCC5D}" uniqueName="1" name="payment_status" queryTableFieldId="1" dataDxfId="0"/>
    <tableColumn id="2" xr3:uid="{116649A9-460E-49DE-A0F7-4901CA6BCD99}" uniqueName="2" name="total_emis" queryTableFieldId="2"/>
    <tableColumn id="3" xr3:uid="{9F6AEF3C-D402-477D-8DAA-B75D38A17020}" uniqueName="3" name="total_am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1BC3-54E6-4F65-AE38-C2E98A549F75}">
  <sheetPr>
    <tabColor theme="1" tint="4.9989318521683403E-2"/>
  </sheetPr>
  <dimension ref="A1:J16"/>
  <sheetViews>
    <sheetView tabSelected="1" workbookViewId="0">
      <selection activeCell="F24" sqref="F24"/>
    </sheetView>
  </sheetViews>
  <sheetFormatPr defaultRowHeight="14.4" x14ac:dyDescent="0.3"/>
  <cols>
    <col min="1" max="1" width="16.88671875" bestFit="1" customWidth="1"/>
    <col min="2" max="2" width="10.6640625" bestFit="1" customWidth="1"/>
    <col min="3" max="3" width="15.5546875" bestFit="1" customWidth="1"/>
    <col min="4" max="4" width="17.6640625" bestFit="1" customWidth="1"/>
    <col min="5" max="5" width="14.5546875" bestFit="1" customWidth="1"/>
    <col min="6" max="6" width="17.6640625" bestFit="1" customWidth="1"/>
    <col min="7" max="7" width="12.88671875" bestFit="1" customWidth="1"/>
    <col min="8" max="8" width="12.109375" bestFit="1" customWidth="1"/>
    <col min="9" max="9" width="17.44140625" bestFit="1" customWidth="1"/>
    <col min="10" max="10" width="16.21875" bestFit="1" customWidth="1"/>
  </cols>
  <sheetData>
    <row r="1" spans="1:10" x14ac:dyDescent="0.3">
      <c r="A1" t="s">
        <v>30</v>
      </c>
      <c r="B1" t="s">
        <v>15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 x14ac:dyDescent="0.3">
      <c r="A2" t="s">
        <v>39</v>
      </c>
      <c r="B2" t="s">
        <v>21</v>
      </c>
      <c r="C2" t="s">
        <v>40</v>
      </c>
      <c r="D2">
        <v>45000</v>
      </c>
      <c r="E2">
        <v>50000</v>
      </c>
      <c r="F2" t="s">
        <v>41</v>
      </c>
      <c r="G2" t="s">
        <v>4</v>
      </c>
      <c r="H2" t="s">
        <v>42</v>
      </c>
      <c r="I2" s="1">
        <v>46027</v>
      </c>
      <c r="J2" s="1">
        <v>46030</v>
      </c>
    </row>
    <row r="3" spans="1:10" x14ac:dyDescent="0.3">
      <c r="A3" t="s">
        <v>43</v>
      </c>
      <c r="B3" t="s">
        <v>22</v>
      </c>
      <c r="C3" t="s">
        <v>44</v>
      </c>
      <c r="D3">
        <v>62000</v>
      </c>
      <c r="E3">
        <v>75000</v>
      </c>
      <c r="F3" t="s">
        <v>45</v>
      </c>
      <c r="G3" t="s">
        <v>4</v>
      </c>
      <c r="H3" t="s">
        <v>42</v>
      </c>
      <c r="I3" s="1">
        <v>46032</v>
      </c>
      <c r="J3" s="1">
        <v>46035</v>
      </c>
    </row>
    <row r="4" spans="1:10" x14ac:dyDescent="0.3">
      <c r="A4" t="s">
        <v>46</v>
      </c>
      <c r="B4" t="s">
        <v>19</v>
      </c>
      <c r="C4" t="s">
        <v>47</v>
      </c>
      <c r="D4">
        <v>78000</v>
      </c>
      <c r="E4">
        <v>100000</v>
      </c>
      <c r="F4" t="s">
        <v>48</v>
      </c>
      <c r="G4" t="s">
        <v>4</v>
      </c>
      <c r="H4" t="s">
        <v>42</v>
      </c>
      <c r="I4" s="1">
        <v>46037</v>
      </c>
      <c r="J4" s="1">
        <v>46040</v>
      </c>
    </row>
    <row r="5" spans="1:10" x14ac:dyDescent="0.3">
      <c r="A5" t="s">
        <v>49</v>
      </c>
      <c r="B5" t="s">
        <v>25</v>
      </c>
      <c r="C5" t="s">
        <v>50</v>
      </c>
      <c r="D5">
        <v>28000</v>
      </c>
      <c r="E5">
        <v>25000</v>
      </c>
      <c r="F5" t="s">
        <v>51</v>
      </c>
      <c r="G5" t="s">
        <v>6</v>
      </c>
      <c r="H5" t="s">
        <v>52</v>
      </c>
      <c r="I5" s="1">
        <v>46042</v>
      </c>
      <c r="J5" s="1"/>
    </row>
    <row r="6" spans="1:10" x14ac:dyDescent="0.3">
      <c r="A6" t="s">
        <v>53</v>
      </c>
      <c r="B6" t="s">
        <v>16</v>
      </c>
      <c r="C6" t="s">
        <v>54</v>
      </c>
      <c r="D6">
        <v>95000</v>
      </c>
      <c r="E6">
        <v>150000</v>
      </c>
      <c r="F6" t="s">
        <v>55</v>
      </c>
      <c r="G6" t="s">
        <v>4</v>
      </c>
      <c r="H6" t="s">
        <v>42</v>
      </c>
      <c r="I6" s="1">
        <v>46054</v>
      </c>
      <c r="J6" s="1">
        <v>46057</v>
      </c>
    </row>
    <row r="7" spans="1:10" x14ac:dyDescent="0.3">
      <c r="A7" t="s">
        <v>56</v>
      </c>
      <c r="B7" t="s">
        <v>24</v>
      </c>
      <c r="C7" t="s">
        <v>57</v>
      </c>
      <c r="D7">
        <v>42000</v>
      </c>
      <c r="E7">
        <v>40000</v>
      </c>
      <c r="F7" t="s">
        <v>41</v>
      </c>
      <c r="G7" t="s">
        <v>4</v>
      </c>
      <c r="H7" t="s">
        <v>42</v>
      </c>
      <c r="I7" s="1">
        <v>46058</v>
      </c>
      <c r="J7" s="1">
        <v>46061</v>
      </c>
    </row>
    <row r="8" spans="1:10" x14ac:dyDescent="0.3">
      <c r="A8" t="s">
        <v>58</v>
      </c>
      <c r="B8" t="s">
        <v>23</v>
      </c>
      <c r="C8" t="s">
        <v>59</v>
      </c>
      <c r="D8">
        <v>55000</v>
      </c>
      <c r="E8">
        <v>60000</v>
      </c>
      <c r="F8" t="s">
        <v>45</v>
      </c>
      <c r="G8" t="s">
        <v>6</v>
      </c>
      <c r="H8" t="s">
        <v>52</v>
      </c>
      <c r="I8" s="1">
        <v>46063</v>
      </c>
      <c r="J8" s="1"/>
    </row>
    <row r="9" spans="1:10" x14ac:dyDescent="0.3">
      <c r="A9" t="s">
        <v>60</v>
      </c>
      <c r="B9" t="s">
        <v>20</v>
      </c>
      <c r="C9" t="s">
        <v>61</v>
      </c>
      <c r="D9">
        <v>67000</v>
      </c>
      <c r="E9">
        <v>80000</v>
      </c>
      <c r="F9" t="s">
        <v>48</v>
      </c>
      <c r="G9" t="s">
        <v>4</v>
      </c>
      <c r="H9" t="s">
        <v>42</v>
      </c>
      <c r="I9" s="1">
        <v>46068</v>
      </c>
      <c r="J9" s="1">
        <v>46071</v>
      </c>
    </row>
    <row r="10" spans="1:10" x14ac:dyDescent="0.3">
      <c r="A10" t="s">
        <v>62</v>
      </c>
      <c r="B10" t="s">
        <v>17</v>
      </c>
      <c r="C10" t="s">
        <v>63</v>
      </c>
      <c r="D10">
        <v>83000</v>
      </c>
      <c r="E10">
        <v>120000</v>
      </c>
      <c r="F10" t="s">
        <v>55</v>
      </c>
      <c r="G10" t="s">
        <v>4</v>
      </c>
      <c r="H10" t="s">
        <v>42</v>
      </c>
      <c r="I10" s="1">
        <v>46082</v>
      </c>
      <c r="J10" s="1">
        <v>46085</v>
      </c>
    </row>
    <row r="11" spans="1:10" x14ac:dyDescent="0.3">
      <c r="A11" t="s">
        <v>64</v>
      </c>
      <c r="B11" t="s">
        <v>18</v>
      </c>
      <c r="C11" t="s">
        <v>65</v>
      </c>
      <c r="D11">
        <v>110000</v>
      </c>
      <c r="E11">
        <v>200000</v>
      </c>
      <c r="F11" t="s">
        <v>51</v>
      </c>
      <c r="G11" t="s">
        <v>5</v>
      </c>
      <c r="H11" t="s">
        <v>42</v>
      </c>
      <c r="I11" s="1">
        <v>46091</v>
      </c>
      <c r="J11" s="1"/>
    </row>
    <row r="12" spans="1:10" x14ac:dyDescent="0.3">
      <c r="A12" t="s">
        <v>39</v>
      </c>
      <c r="B12" t="s">
        <v>21</v>
      </c>
      <c r="C12" t="s">
        <v>40</v>
      </c>
      <c r="D12">
        <v>45000</v>
      </c>
      <c r="E12">
        <v>30000</v>
      </c>
      <c r="F12" t="s">
        <v>41</v>
      </c>
      <c r="G12" t="s">
        <v>4</v>
      </c>
      <c r="H12" t="s">
        <v>42</v>
      </c>
      <c r="I12" s="1">
        <v>46096</v>
      </c>
      <c r="J12" s="1">
        <v>46099</v>
      </c>
    </row>
    <row r="13" spans="1:10" x14ac:dyDescent="0.3">
      <c r="A13" t="s">
        <v>46</v>
      </c>
      <c r="B13" t="s">
        <v>19</v>
      </c>
      <c r="C13" t="s">
        <v>47</v>
      </c>
      <c r="D13">
        <v>78000</v>
      </c>
      <c r="E13">
        <v>90000</v>
      </c>
      <c r="F13" t="s">
        <v>48</v>
      </c>
      <c r="G13" t="s">
        <v>6</v>
      </c>
      <c r="H13" t="s">
        <v>42</v>
      </c>
      <c r="I13" s="1">
        <v>46113</v>
      </c>
      <c r="J13" s="1"/>
    </row>
    <row r="14" spans="1:10" x14ac:dyDescent="0.3">
      <c r="A14" t="s">
        <v>53</v>
      </c>
      <c r="B14" t="s">
        <v>16</v>
      </c>
      <c r="C14" t="s">
        <v>54</v>
      </c>
      <c r="D14">
        <v>95000</v>
      </c>
      <c r="E14">
        <v>175000</v>
      </c>
      <c r="F14" t="s">
        <v>55</v>
      </c>
      <c r="G14" t="s">
        <v>4</v>
      </c>
      <c r="H14" t="s">
        <v>42</v>
      </c>
      <c r="I14" s="1">
        <v>46122</v>
      </c>
      <c r="J14" s="1">
        <v>46125</v>
      </c>
    </row>
    <row r="15" spans="1:10" x14ac:dyDescent="0.3">
      <c r="A15" t="s">
        <v>60</v>
      </c>
      <c r="B15" t="s">
        <v>20</v>
      </c>
      <c r="C15" t="s">
        <v>61</v>
      </c>
      <c r="D15">
        <v>67000</v>
      </c>
      <c r="E15">
        <v>95000</v>
      </c>
      <c r="F15" t="s">
        <v>45</v>
      </c>
      <c r="G15" t="s">
        <v>5</v>
      </c>
      <c r="H15" t="s">
        <v>42</v>
      </c>
      <c r="I15" s="1">
        <v>46127</v>
      </c>
      <c r="J15" s="1"/>
    </row>
    <row r="16" spans="1:10" x14ac:dyDescent="0.3">
      <c r="A16" t="s">
        <v>62</v>
      </c>
      <c r="B16" t="s">
        <v>17</v>
      </c>
      <c r="C16" t="s">
        <v>63</v>
      </c>
      <c r="D16">
        <v>83000</v>
      </c>
      <c r="E16">
        <v>140000</v>
      </c>
      <c r="F16" t="s">
        <v>51</v>
      </c>
      <c r="G16" t="s">
        <v>4</v>
      </c>
      <c r="H16" t="s">
        <v>42</v>
      </c>
      <c r="I16" s="1">
        <v>46143</v>
      </c>
      <c r="J16" s="1">
        <v>46146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0843-4977-4492-84F1-CE8C9F4A2900}">
  <sheetPr>
    <tabColor theme="9"/>
  </sheetPr>
  <dimension ref="A1:D4"/>
  <sheetViews>
    <sheetView workbookViewId="0">
      <selection activeCell="N9" sqref="N9"/>
    </sheetView>
  </sheetViews>
  <sheetFormatPr defaultRowHeight="14.4" x14ac:dyDescent="0.3"/>
  <cols>
    <col min="1" max="1" width="8.6640625" bestFit="1" customWidth="1"/>
    <col min="2" max="2" width="12.5546875" bestFit="1" customWidth="1"/>
    <col min="3" max="3" width="14.77734375" bestFit="1" customWidth="1"/>
    <col min="4" max="4" width="13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</v>
      </c>
      <c r="C2">
        <v>960000</v>
      </c>
      <c r="D2">
        <v>96000</v>
      </c>
    </row>
    <row r="3" spans="1:4" x14ac:dyDescent="0.3">
      <c r="A3" t="s">
        <v>5</v>
      </c>
      <c r="B3">
        <v>2</v>
      </c>
      <c r="C3">
        <v>295000</v>
      </c>
      <c r="D3">
        <v>147500</v>
      </c>
    </row>
    <row r="4" spans="1:4" x14ac:dyDescent="0.3">
      <c r="A4" t="s">
        <v>6</v>
      </c>
      <c r="B4">
        <v>3</v>
      </c>
      <c r="C4">
        <v>175000</v>
      </c>
      <c r="D4">
        <v>58333.333333333336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E711-8A57-49FD-8CE6-9C535071178E}">
  <sheetPr>
    <tabColor theme="5"/>
  </sheetPr>
  <dimension ref="A1:C6"/>
  <sheetViews>
    <sheetView workbookViewId="0">
      <selection activeCell="C27" sqref="C27"/>
    </sheetView>
  </sheetViews>
  <sheetFormatPr defaultRowHeight="14.4" x14ac:dyDescent="0.3"/>
  <cols>
    <col min="1" max="1" width="10.33203125" bestFit="1" customWidth="1"/>
    <col min="2" max="2" width="16.88671875" bestFit="1" customWidth="1"/>
    <col min="3" max="3" width="24.21875" bestFit="1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s="1">
        <v>46023</v>
      </c>
      <c r="B2">
        <v>3</v>
      </c>
      <c r="C2">
        <v>225000</v>
      </c>
    </row>
    <row r="3" spans="1:3" x14ac:dyDescent="0.3">
      <c r="A3" s="1">
        <v>46054</v>
      </c>
      <c r="B3">
        <v>3</v>
      </c>
      <c r="C3">
        <v>270000</v>
      </c>
    </row>
    <row r="4" spans="1:3" x14ac:dyDescent="0.3">
      <c r="A4" s="1">
        <v>46082</v>
      </c>
      <c r="B4">
        <v>2</v>
      </c>
      <c r="C4">
        <v>150000</v>
      </c>
    </row>
    <row r="5" spans="1:3" x14ac:dyDescent="0.3">
      <c r="A5" s="1">
        <v>46113</v>
      </c>
      <c r="B5">
        <v>1</v>
      </c>
      <c r="C5">
        <v>175000</v>
      </c>
    </row>
    <row r="6" spans="1:3" x14ac:dyDescent="0.3">
      <c r="A6" s="1">
        <v>46143</v>
      </c>
      <c r="B6">
        <v>1</v>
      </c>
      <c r="C6">
        <v>140000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B8AB-5858-4063-8F9F-E095CA9682D9}">
  <sheetPr>
    <tabColor rgb="FFFF0000"/>
  </sheetPr>
  <dimension ref="A1:B4"/>
  <sheetViews>
    <sheetView workbookViewId="0">
      <selection activeCell="M4" sqref="M4"/>
    </sheetView>
  </sheetViews>
  <sheetFormatPr defaultRowHeight="14.4" x14ac:dyDescent="0.3"/>
  <cols>
    <col min="1" max="1" width="17.44140625" bestFit="1" customWidth="1"/>
    <col min="2" max="2" width="16.44140625" bestFit="1" customWidth="1"/>
    <col min="3" max="3" width="14.77734375" bestFit="1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12</v>
      </c>
      <c r="B2">
        <v>1</v>
      </c>
    </row>
    <row r="3" spans="1:2" x14ac:dyDescent="0.3">
      <c r="A3" t="s">
        <v>13</v>
      </c>
      <c r="B3">
        <v>1</v>
      </c>
    </row>
    <row r="4" spans="1:2" x14ac:dyDescent="0.3">
      <c r="A4" t="s">
        <v>14</v>
      </c>
      <c r="B4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330E-E730-41FE-97AA-2D2CA4933095}">
  <sheetPr>
    <tabColor rgb="FF7030A0"/>
  </sheetPr>
  <dimension ref="A1:C11"/>
  <sheetViews>
    <sheetView workbookViewId="0">
      <selection activeCell="O5" sqref="O5"/>
    </sheetView>
  </sheetViews>
  <sheetFormatPr defaultRowHeight="14.4" x14ac:dyDescent="0.3"/>
  <cols>
    <col min="1" max="1" width="10.6640625" bestFit="1" customWidth="1"/>
    <col min="2" max="2" width="12.5546875" bestFit="1" customWidth="1"/>
    <col min="3" max="3" width="14.77734375" bestFit="1" customWidth="1"/>
  </cols>
  <sheetData>
    <row r="1" spans="1:3" x14ac:dyDescent="0.3">
      <c r="A1" t="s">
        <v>15</v>
      </c>
      <c r="B1" t="s">
        <v>1</v>
      </c>
      <c r="C1" t="s">
        <v>2</v>
      </c>
    </row>
    <row r="2" spans="1:3" x14ac:dyDescent="0.3">
      <c r="A2" t="s">
        <v>16</v>
      </c>
      <c r="B2">
        <v>2</v>
      </c>
      <c r="C2">
        <v>325000</v>
      </c>
    </row>
    <row r="3" spans="1:3" x14ac:dyDescent="0.3">
      <c r="A3" t="s">
        <v>17</v>
      </c>
      <c r="B3">
        <v>2</v>
      </c>
      <c r="C3">
        <v>260000</v>
      </c>
    </row>
    <row r="4" spans="1:3" x14ac:dyDescent="0.3">
      <c r="A4" t="s">
        <v>18</v>
      </c>
      <c r="B4">
        <v>1</v>
      </c>
      <c r="C4">
        <v>200000</v>
      </c>
    </row>
    <row r="5" spans="1:3" x14ac:dyDescent="0.3">
      <c r="A5" t="s">
        <v>19</v>
      </c>
      <c r="B5">
        <v>2</v>
      </c>
      <c r="C5">
        <v>190000</v>
      </c>
    </row>
    <row r="6" spans="1:3" x14ac:dyDescent="0.3">
      <c r="A6" t="s">
        <v>20</v>
      </c>
      <c r="B6">
        <v>2</v>
      </c>
      <c r="C6">
        <v>175000</v>
      </c>
    </row>
    <row r="7" spans="1:3" x14ac:dyDescent="0.3">
      <c r="A7" t="s">
        <v>21</v>
      </c>
      <c r="B7">
        <v>2</v>
      </c>
      <c r="C7">
        <v>80000</v>
      </c>
    </row>
    <row r="8" spans="1:3" x14ac:dyDescent="0.3">
      <c r="A8" t="s">
        <v>22</v>
      </c>
      <c r="B8">
        <v>1</v>
      </c>
      <c r="C8">
        <v>75000</v>
      </c>
    </row>
    <row r="9" spans="1:3" x14ac:dyDescent="0.3">
      <c r="A9" t="s">
        <v>23</v>
      </c>
      <c r="B9">
        <v>1</v>
      </c>
      <c r="C9">
        <v>60000</v>
      </c>
    </row>
    <row r="10" spans="1:3" x14ac:dyDescent="0.3">
      <c r="A10" t="s">
        <v>24</v>
      </c>
      <c r="B10">
        <v>1</v>
      </c>
      <c r="C10">
        <v>40000</v>
      </c>
    </row>
    <row r="11" spans="1:3" x14ac:dyDescent="0.3">
      <c r="A11" t="s">
        <v>25</v>
      </c>
      <c r="B11">
        <v>1</v>
      </c>
      <c r="C11">
        <v>25000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86A5-C187-4A29-B205-F4FF67280A6E}">
  <sheetPr>
    <tabColor theme="7"/>
  </sheetPr>
  <dimension ref="A1:C3"/>
  <sheetViews>
    <sheetView workbookViewId="0">
      <selection activeCell="S5" sqref="S5"/>
    </sheetView>
  </sheetViews>
  <sheetFormatPr defaultRowHeight="14.4" x14ac:dyDescent="0.3"/>
  <cols>
    <col min="1" max="1" width="16.88671875" bestFit="1" customWidth="1"/>
    <col min="2" max="2" width="12" bestFit="1" customWidth="1"/>
    <col min="3" max="3" width="14.77734375" bestFit="1" customWidth="1"/>
  </cols>
  <sheetData>
    <row r="1" spans="1:3" x14ac:dyDescent="0.3">
      <c r="A1" t="s">
        <v>26</v>
      </c>
      <c r="B1" t="s">
        <v>27</v>
      </c>
      <c r="C1" t="s">
        <v>2</v>
      </c>
    </row>
    <row r="2" spans="1:3" x14ac:dyDescent="0.3">
      <c r="A2" t="s">
        <v>28</v>
      </c>
      <c r="B2">
        <v>10</v>
      </c>
      <c r="C2">
        <v>69800</v>
      </c>
    </row>
    <row r="3" spans="1:3" x14ac:dyDescent="0.3">
      <c r="A3" t="s">
        <v>29</v>
      </c>
      <c r="B3">
        <v>5</v>
      </c>
      <c r="C3">
        <v>58600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698C-FEDA-4E38-8D24-6B89D22250C4}">
  <sheetPr>
    <tabColor rgb="FF002060"/>
  </sheetPr>
  <dimension ref="A1:AM6"/>
  <sheetViews>
    <sheetView workbookViewId="0">
      <pane ySplit="3" topLeftCell="A4" activePane="bottomLeft" state="frozen"/>
      <selection pane="bottomLeft" activeCell="J5" sqref="J5"/>
    </sheetView>
  </sheetViews>
  <sheetFormatPr defaultRowHeight="14.4" x14ac:dyDescent="0.3"/>
  <cols>
    <col min="1" max="1" width="10.109375" customWidth="1"/>
    <col min="2" max="2" width="15" customWidth="1"/>
    <col min="3" max="3" width="12.88671875" customWidth="1"/>
    <col min="4" max="4" width="12.5546875" customWidth="1"/>
    <col min="5" max="5" width="12.88671875" customWidth="1"/>
    <col min="6" max="6" width="22" customWidth="1"/>
    <col min="9" max="9" width="8.88671875" customWidth="1"/>
  </cols>
  <sheetData>
    <row r="1" spans="1:39" ht="30" x14ac:dyDescent="0.5">
      <c r="A1" s="11" t="s">
        <v>71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ht="15.6" x14ac:dyDescent="0.3">
      <c r="A2" s="2"/>
      <c r="B2" s="5" t="s">
        <v>67</v>
      </c>
      <c r="C2" s="5" t="s">
        <v>66</v>
      </c>
      <c r="D2" s="4" t="s">
        <v>70</v>
      </c>
      <c r="E2" s="5" t="s">
        <v>69</v>
      </c>
      <c r="F2" s="5" t="s">
        <v>68</v>
      </c>
    </row>
    <row r="3" spans="1:39" ht="31.2" x14ac:dyDescent="0.6">
      <c r="A3" s="6"/>
      <c r="B3" s="7">
        <v>15</v>
      </c>
      <c r="C3" s="7">
        <v>11</v>
      </c>
      <c r="D3" s="7">
        <v>3</v>
      </c>
      <c r="E3" s="7">
        <v>2</v>
      </c>
      <c r="F3" s="8">
        <v>0.73299999999999998</v>
      </c>
      <c r="G3" s="3"/>
    </row>
    <row r="6" spans="1:39" x14ac:dyDescent="0.3">
      <c r="A6" s="10"/>
    </row>
  </sheetData>
  <mergeCells count="1">
    <mergeCell ref="A1:S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255FD6-0B70-4C09-BD36-E22882D633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Data</vt:lpstr>
      <vt:lpstr>Loan Overview</vt:lpstr>
      <vt:lpstr>Monthly Trend</vt:lpstr>
      <vt:lpstr>Rejection Analysis</vt:lpstr>
      <vt:lpstr>City Performance</vt:lpstr>
      <vt:lpstr>Repayment Health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poojary</dc:creator>
  <cp:lastModifiedBy>Ankitha poojary</cp:lastModifiedBy>
  <dcterms:created xsi:type="dcterms:W3CDTF">2026-06-01T04:03:11Z</dcterms:created>
  <dcterms:modified xsi:type="dcterms:W3CDTF">2026-06-03T07:58:33Z</dcterms:modified>
</cp:coreProperties>
</file>